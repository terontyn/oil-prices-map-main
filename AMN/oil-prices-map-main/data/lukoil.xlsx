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m2\Desktop\Проект Карты\"/>
    </mc:Choice>
  </mc:AlternateContent>
  <xr:revisionPtr revIDLastSave="0" documentId="13_ncr:1_{0237D5D6-CD60-42A5-87C5-AB3BAD8D2B97}" xr6:coauthVersionLast="47" xr6:coauthVersionMax="47" xr10:uidLastSave="{00000000-0000-0000-0000-000000000000}"/>
  <bookViews>
    <workbookView xWindow="29850" yWindow="720" windowWidth="21855" windowHeight="14625" xr2:uid="{00000000-000D-0000-FFFF-FFFF00000000}"/>
  </bookViews>
  <sheets>
    <sheet name="Цены" sheetId="5" r:id="rId1"/>
  </sheets>
  <definedNames>
    <definedName name="_xlnm._FilterDatabase" localSheetId="0" hidden="1">Цены!$A$1:$W$66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5" l="1"/>
  <c r="I20" i="5"/>
  <c r="P2" i="5"/>
  <c r="P7" i="5"/>
</calcChain>
</file>

<file path=xl/sharedStrings.xml><?xml version="1.0" encoding="utf-8"?>
<sst xmlns="http://schemas.openxmlformats.org/spreadsheetml/2006/main" count="156" uniqueCount="126">
  <si>
    <t>НБ Нефтебизнес (ЛИКАРД)</t>
  </si>
  <si>
    <t>Прохоровская нб (склад Л-ЮНП) (ЛИКАРД)</t>
  </si>
  <si>
    <t>Волгоградская ГНС (ЛИКАРД)</t>
  </si>
  <si>
    <t>ГНС Калиниградского РУ (ЛИКАРД)</t>
  </si>
  <si>
    <t>Комплексный нефтяной терминал (ЛИКАРД)</t>
  </si>
  <si>
    <t>Накопительная перевалочная нб (ЛИКАРД)</t>
  </si>
  <si>
    <t>НБ Заводская (ЛИКАРД)</t>
  </si>
  <si>
    <t>НБ УАЗС Печора-1 (ЛИКАРД)</t>
  </si>
  <si>
    <t>КО "ТНПС" ООО (ЛИКАРД)</t>
  </si>
  <si>
    <t>Тюменская товарная группа ЛУКОЙЛ Аэро Восток (ЛИКАРД)</t>
  </si>
  <si>
    <t>ЕВРО-95</t>
  </si>
  <si>
    <t>Евро-92</t>
  </si>
  <si>
    <t>ЭКТО-92</t>
  </si>
  <si>
    <t>ЭКТО-95</t>
  </si>
  <si>
    <t>СУГ</t>
  </si>
  <si>
    <t>ДТ ЕВРО зимнее</t>
  </si>
  <si>
    <t>ДТ ЕВРО летнее</t>
  </si>
  <si>
    <t>ДТ ЕВРО межсезонное</t>
  </si>
  <si>
    <t>ДТ ЭКТО зимнее</t>
  </si>
  <si>
    <t>ДТ ЭКТО летнее</t>
  </si>
  <si>
    <t>ДТ ЭКТО межсезонное</t>
  </si>
  <si>
    <t>ГНС ЗАО Кубаньмежрайгаз (ЛИКАРД)</t>
  </si>
  <si>
    <t>Нефтебазы</t>
  </si>
  <si>
    <t>Николаевская нб Альфа Логистика (ЛИКАРД)</t>
  </si>
  <si>
    <t>Регион нефтебазы</t>
  </si>
  <si>
    <t>Тюменская область</t>
  </si>
  <si>
    <t>Тюменское РУ - НГСС (ЛИКАРД)</t>
  </si>
  <si>
    <t>Пензенская область</t>
  </si>
  <si>
    <t>Астраханская область</t>
  </si>
  <si>
    <t>Воронежская область</t>
  </si>
  <si>
    <t>Волгоградская область</t>
  </si>
  <si>
    <t>Калининградская область</t>
  </si>
  <si>
    <t>Калужская область</t>
  </si>
  <si>
    <t>Самарская область</t>
  </si>
  <si>
    <t>Нижегородская область</t>
  </si>
  <si>
    <t>Московская область</t>
  </si>
  <si>
    <t>Липецкая область</t>
  </si>
  <si>
    <t>Республика Адыгея (Адыгея)</t>
  </si>
  <si>
    <t>Ставропольский край</t>
  </si>
  <si>
    <t>Краснодарский край</t>
  </si>
  <si>
    <t>Ленинградская область</t>
  </si>
  <si>
    <t>Ямало-Ненецкий автономный округ</t>
  </si>
  <si>
    <t>Республика Коми</t>
  </si>
  <si>
    <t>Архангельская область</t>
  </si>
  <si>
    <t>Республика Башкортостан</t>
  </si>
  <si>
    <t>Пермский край</t>
  </si>
  <si>
    <t>Республика Татарстан</t>
  </si>
  <si>
    <t>Вологодская область</t>
  </si>
  <si>
    <t>Свердловская область</t>
  </si>
  <si>
    <t>Кировская область</t>
  </si>
  <si>
    <t>Ханты-Мансийский автономный округ - Югра</t>
  </si>
  <si>
    <t>Мурманская область</t>
  </si>
  <si>
    <t>Ненецкий АО</t>
  </si>
  <si>
    <t>Оренбургская область</t>
  </si>
  <si>
    <t>Новгородская область</t>
  </si>
  <si>
    <t>Псковская область</t>
  </si>
  <si>
    <t>Республика Карелия</t>
  </si>
  <si>
    <t>Челябинская область</t>
  </si>
  <si>
    <t>Ростовская область</t>
  </si>
  <si>
    <t>Белгородская область</t>
  </si>
  <si>
    <t>Владимирская область</t>
  </si>
  <si>
    <t>ДТ ЕВРО зимнее КЛ 2</t>
  </si>
  <si>
    <t>ДТ ЕВРО зимнее КЛ 1</t>
  </si>
  <si>
    <t>ДТ ЭКТО зимнее Кл 1</t>
  </si>
  <si>
    <t>ДТ ЭКТО зимнее Кл 3</t>
  </si>
  <si>
    <t>ДТ ЕВРО зимнее КЛ 3</t>
  </si>
  <si>
    <t>ДТ ЭКТО зимнее Кл 2</t>
  </si>
  <si>
    <t>lat</t>
  </si>
  <si>
    <t>lon</t>
  </si>
  <si>
    <t>Ардымская НБ (ЛИКАРД)</t>
  </si>
  <si>
    <t>Астраханская НБ №5 (ЛИКАРД)</t>
  </si>
  <si>
    <t>Бобровская НБ (ЛИКАРД)</t>
  </si>
  <si>
    <t>Волгоградская НБ (ЛИКАРД)</t>
  </si>
  <si>
    <t>Калужская НБ (ЛИКАРД)</t>
  </si>
  <si>
    <t>Кстовская НБ (ЛИКАРД)</t>
  </si>
  <si>
    <t>Видновская НБ (ЛИКАРД)</t>
  </si>
  <si>
    <t>Купавинская НБ (ЛИКАРД)</t>
  </si>
  <si>
    <t>Липецкая НБ (ЛИКАРД)</t>
  </si>
  <si>
    <t>Майкопская НБ (ЛИКАРД)</t>
  </si>
  <si>
    <t>Минераловодская НБ (ЛИКАРД)</t>
  </si>
  <si>
    <t>Павловская НБ (ЛИКАРД)</t>
  </si>
  <si>
    <t>Серпуховская НБ (ЛИКАРД)</t>
  </si>
  <si>
    <t>Софринская НБ (ЛИКАРД)</t>
  </si>
  <si>
    <t>Сочинская НБ (ЛИКАРД)</t>
  </si>
  <si>
    <t>Старомарьевская НБ (ЛИКАРД)</t>
  </si>
  <si>
    <t>Судогодская НБ (ЛИКАРД)</t>
  </si>
  <si>
    <t>Сулинская НБ (ЛИКАРД)</t>
  </si>
  <si>
    <t>Энемская НБ (ЛИКАРД)</t>
  </si>
  <si>
    <t>НБ "Благоевская" (ЛИКАРД)</t>
  </si>
  <si>
    <t>НБ Андреевка (ЛИКАРД)</t>
  </si>
  <si>
    <t>НБ Березники (ЛИКАРД)</t>
  </si>
  <si>
    <t>НБ Бирюли (ЛИКАРД)</t>
  </si>
  <si>
    <t>НБ Бугульма (ЛИКАРД)</t>
  </si>
  <si>
    <t>НБ Велком (ЛИКАРД)</t>
  </si>
  <si>
    <t>НБ Вологодская (ЛИКАРД)</t>
  </si>
  <si>
    <t>НБ Воркутинская (ЛИКАРД)</t>
  </si>
  <si>
    <t>НБ Екатеринбург (ЛИКАРД)</t>
  </si>
  <si>
    <t>НБ Иглино (ЛИКАРД)</t>
  </si>
  <si>
    <t>НБ Интинская (ЛИКАРД)</t>
  </si>
  <si>
    <t>НБ Киров (ЛИКАРД)</t>
  </si>
  <si>
    <t>НБ Когалым (ЛИКАРД)</t>
  </si>
  <si>
    <t>НБ ЛАНТА-Петролеум (ЛИКАРД)</t>
  </si>
  <si>
    <t>НБ Мурманская (ЛИКАРД)</t>
  </si>
  <si>
    <t>НБ Нарьян-Марская (ЛИКАРД)</t>
  </si>
  <si>
    <t>НБ Новоселки (ЛИКАРД)</t>
  </si>
  <si>
    <t>НБ Оренбург (ЛИКАРД)</t>
  </si>
  <si>
    <t>НБ Пермь (ЛИКАРД)</t>
  </si>
  <si>
    <t>НБ Подберезье (ЛИКАРД)</t>
  </si>
  <si>
    <t>НБ Псковская Псковнефть-Терминал (ЛИКАРД)</t>
  </si>
  <si>
    <t>НБ СГК-Лабытнанги (ЛИКАРД)</t>
  </si>
  <si>
    <t>НБ Севмаш (ЛИКАРД)</t>
  </si>
  <si>
    <t>НБ Стеклянная (ЛИКАРД)</t>
  </si>
  <si>
    <t>НБ Томицы (ЛИКАРД)</t>
  </si>
  <si>
    <t>НБ Усинская (ЛИКАРД)</t>
  </si>
  <si>
    <t>НБ хранения АО "НТК" (ЛИКАРД)</t>
  </si>
  <si>
    <t>НБ Челябинск (ЛИКАРД)</t>
  </si>
  <si>
    <t>НБ Южная Л-СЗНП (ЛИКАРД)</t>
  </si>
  <si>
    <t>НБ хранения Мечетинская (ЛИКАРД)</t>
  </si>
  <si>
    <t>НБ хранения Урюпинская (ЛИКАРД)</t>
  </si>
  <si>
    <t xml:space="preserve">54,695513, </t>
  </si>
  <si>
    <t xml:space="preserve">56,092541, </t>
  </si>
  <si>
    <t>55,970363,</t>
  </si>
  <si>
    <t xml:space="preserve">57,909346, </t>
  </si>
  <si>
    <t xml:space="preserve">59,429645, </t>
  </si>
  <si>
    <t xml:space="preserve">Пункт налива СУГ г, Котово (ЛИКАРД) </t>
  </si>
  <si>
    <t>Пункт налива СУГ г,Пенза (ЛИКАРД)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</si>
</sst>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1" xfId="1" applyNumberFormat="1" applyFont="1" applyFill="1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3" fillId="0" borderId="6" xfId="0" applyFont="1" applyBorder="1" applyAlignment="1">
      <alignment vertical="center"/>
    </xf>
    <xf numFmtId="0" fontId="0" fillId="0" borderId="5" xfId="0" applyBorder="1"/>
    <xf numFmtId="164" fontId="0" fillId="0" borderId="5" xfId="1" applyNumberFormat="1" applyFont="1" applyFill="1" applyBorder="1"/>
    <xf numFmtId="164" fontId="0" fillId="0" borderId="0" xfId="0" applyNumberFormat="1"/>
    <xf numFmtId="0" fontId="3" fillId="0" borderId="1" xfId="0" applyFont="1" applyBorder="1"/>
    <xf numFmtId="164" fontId="3" fillId="0" borderId="1" xfId="1" applyNumberFormat="1" applyFont="1" applyFill="1" applyBorder="1"/>
    <xf numFmtId="0" fontId="3" fillId="0" borderId="0" xfId="0" applyFont="1"/>
    <xf numFmtId="0" fontId="1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AA1F-F0FD-4318-A566-E4ABF4DD3852}">
  <dimension ref="A1:V66"/>
  <sheetViews>
    <sheetView tabSelected="1" zoomScale="85" zoomScaleNormal="85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36.7109375" customWidth="1"/>
    <col min="2" max="2" width="57.28515625" customWidth="1"/>
    <col min="3" max="3" width="20.85546875" bestFit="1" customWidth="1"/>
    <col min="4" max="4" width="19.140625" bestFit="1" customWidth="1"/>
    <col min="5" max="8" width="10.42578125" bestFit="1" customWidth="1"/>
    <col min="9" max="12" width="14.42578125" customWidth="1"/>
    <col min="13" max="13" width="10.42578125" customWidth="1"/>
    <col min="14" max="14" width="10.42578125" hidden="1" customWidth="1"/>
    <col min="15" max="19" width="10.42578125" customWidth="1"/>
    <col min="20" max="20" width="10.42578125" hidden="1" customWidth="1"/>
    <col min="21" max="21" width="10.42578125" bestFit="1" customWidth="1"/>
  </cols>
  <sheetData>
    <row r="1" spans="1:21" s="3" customFormat="1" ht="45" x14ac:dyDescent="0.25">
      <c r="A1" s="5" t="s">
        <v>24</v>
      </c>
      <c r="B1" s="1" t="s">
        <v>22</v>
      </c>
      <c r="C1" s="14" t="s">
        <v>67</v>
      </c>
      <c r="D1" s="14" t="s">
        <v>68</v>
      </c>
      <c r="E1" s="1" t="s">
        <v>11</v>
      </c>
      <c r="F1" s="1" t="s">
        <v>12</v>
      </c>
      <c r="G1" s="1" t="s">
        <v>10</v>
      </c>
      <c r="H1" s="1" t="s">
        <v>13</v>
      </c>
      <c r="I1" s="1" t="s">
        <v>15</v>
      </c>
      <c r="J1" s="1" t="s">
        <v>65</v>
      </c>
      <c r="K1" s="1" t="s">
        <v>61</v>
      </c>
      <c r="L1" s="1" t="s">
        <v>62</v>
      </c>
      <c r="M1" s="1" t="s">
        <v>17</v>
      </c>
      <c r="N1" s="1" t="s">
        <v>16</v>
      </c>
      <c r="O1" s="1" t="s">
        <v>18</v>
      </c>
      <c r="P1" s="1" t="s">
        <v>63</v>
      </c>
      <c r="Q1" s="1" t="s">
        <v>66</v>
      </c>
      <c r="R1" s="1" t="s">
        <v>64</v>
      </c>
      <c r="S1" s="1" t="s">
        <v>20</v>
      </c>
      <c r="T1" s="1" t="s">
        <v>19</v>
      </c>
      <c r="U1" s="2" t="s">
        <v>14</v>
      </c>
    </row>
    <row r="2" spans="1:21" x14ac:dyDescent="0.25">
      <c r="A2" s="6" t="s">
        <v>27</v>
      </c>
      <c r="B2" s="6" t="s">
        <v>69</v>
      </c>
      <c r="C2" s="15">
        <v>53.046562999999999</v>
      </c>
      <c r="D2" s="15">
        <v>44.865225000000002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75800</v>
      </c>
      <c r="P2" s="4">
        <f>O2</f>
        <v>75800</v>
      </c>
      <c r="Q2" s="4">
        <v>0</v>
      </c>
      <c r="R2" s="4">
        <v>0</v>
      </c>
      <c r="S2" s="4">
        <v>73000.009999999995</v>
      </c>
      <c r="T2" s="4">
        <v>0</v>
      </c>
      <c r="U2" s="4">
        <v>0</v>
      </c>
    </row>
    <row r="3" spans="1:21" x14ac:dyDescent="0.25">
      <c r="A3" s="6" t="s">
        <v>28</v>
      </c>
      <c r="B3" s="6" t="s">
        <v>70</v>
      </c>
      <c r="C3" s="15">
        <v>46.408246699999999</v>
      </c>
      <c r="D3" s="15">
        <v>48.130504299999998</v>
      </c>
      <c r="E3" s="4">
        <v>0</v>
      </c>
      <c r="F3" s="4">
        <v>84900</v>
      </c>
      <c r="G3" s="4">
        <v>88300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79800</v>
      </c>
      <c r="P3" s="4"/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6" t="s">
        <v>29</v>
      </c>
      <c r="B4" s="6" t="s">
        <v>71</v>
      </c>
      <c r="C4" s="15">
        <v>51.1184042290704</v>
      </c>
      <c r="D4" s="15">
        <v>40.310369728606503</v>
      </c>
      <c r="E4" s="4">
        <v>82600</v>
      </c>
      <c r="F4" s="4">
        <v>0</v>
      </c>
      <c r="G4" s="4">
        <v>80600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76800</v>
      </c>
      <c r="P4" s="4">
        <f>O4</f>
        <v>76800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6" t="s">
        <v>30</v>
      </c>
      <c r="B5" s="6" t="s">
        <v>2</v>
      </c>
      <c r="C5" s="15">
        <v>48.516612899999998</v>
      </c>
      <c r="D5" s="15">
        <v>44.6336753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34700</v>
      </c>
    </row>
    <row r="6" spans="1:21" x14ac:dyDescent="0.25">
      <c r="A6" s="6" t="s">
        <v>30</v>
      </c>
      <c r="B6" s="6" t="s">
        <v>124</v>
      </c>
      <c r="C6" s="15">
        <v>50.322063999999997</v>
      </c>
      <c r="D6" s="15">
        <v>44.801327999999998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6" t="s">
        <v>30</v>
      </c>
      <c r="B7" s="6" t="s">
        <v>72</v>
      </c>
      <c r="C7" s="15">
        <v>48.510196000000001</v>
      </c>
      <c r="D7" s="15">
        <v>44.641067999999997</v>
      </c>
      <c r="E7" s="4">
        <v>0</v>
      </c>
      <c r="F7" s="4">
        <v>65300</v>
      </c>
      <c r="G7" s="4">
        <v>68600</v>
      </c>
      <c r="H7" s="4">
        <v>0</v>
      </c>
      <c r="I7" s="4">
        <v>62000</v>
      </c>
      <c r="J7" s="4">
        <v>0</v>
      </c>
      <c r="K7" s="4">
        <v>0</v>
      </c>
      <c r="L7" s="4">
        <v>0</v>
      </c>
      <c r="M7" s="4">
        <v>58500</v>
      </c>
      <c r="N7" s="4">
        <v>0</v>
      </c>
      <c r="O7" s="4">
        <v>62200</v>
      </c>
      <c r="P7" s="4">
        <f>O7</f>
        <v>62200</v>
      </c>
      <c r="Q7" s="4">
        <v>0</v>
      </c>
      <c r="R7" s="4">
        <v>0</v>
      </c>
      <c r="S7" s="4">
        <v>58700</v>
      </c>
      <c r="T7" s="4">
        <v>0</v>
      </c>
      <c r="U7" s="4">
        <v>0</v>
      </c>
    </row>
    <row r="8" spans="1:21" x14ac:dyDescent="0.25">
      <c r="A8" s="6" t="s">
        <v>31</v>
      </c>
      <c r="B8" s="6" t="s">
        <v>3</v>
      </c>
      <c r="C8" s="15">
        <v>54.595737</v>
      </c>
      <c r="D8" s="15">
        <v>20.562104000000001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44500</v>
      </c>
    </row>
    <row r="9" spans="1:21" x14ac:dyDescent="0.25">
      <c r="A9" s="6" t="s">
        <v>32</v>
      </c>
      <c r="B9" s="6" t="s">
        <v>73</v>
      </c>
      <c r="C9" s="15">
        <v>54.490499999999997</v>
      </c>
      <c r="D9" s="15">
        <v>36.634300000000003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 x14ac:dyDescent="0.25">
      <c r="A10" s="6" t="s">
        <v>33</v>
      </c>
      <c r="B10" s="6" t="s">
        <v>8</v>
      </c>
      <c r="C10" s="15">
        <v>53.200899999999997</v>
      </c>
      <c r="D10" s="15">
        <v>49.66</v>
      </c>
      <c r="E10" s="4">
        <v>77800</v>
      </c>
      <c r="F10" s="4">
        <v>0</v>
      </c>
      <c r="G10" s="4">
        <v>78000</v>
      </c>
      <c r="H10" s="4">
        <v>0</v>
      </c>
      <c r="I10" s="4"/>
      <c r="J10" s="4">
        <v>88000</v>
      </c>
      <c r="K10" s="4">
        <v>73000.009999999995</v>
      </c>
      <c r="L10" s="4">
        <v>0</v>
      </c>
      <c r="M10" s="4">
        <v>0</v>
      </c>
      <c r="N10" s="4">
        <v>0</v>
      </c>
      <c r="O10" s="4">
        <v>88100.01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spans="1:21" x14ac:dyDescent="0.25">
      <c r="A11" s="6" t="s">
        <v>31</v>
      </c>
      <c r="B11" s="6" t="s">
        <v>4</v>
      </c>
      <c r="C11" s="15" t="s">
        <v>119</v>
      </c>
      <c r="D11" s="15">
        <v>20.187847999999999</v>
      </c>
      <c r="E11" s="4">
        <v>89500.01</v>
      </c>
      <c r="F11" s="4">
        <v>0</v>
      </c>
      <c r="G11" s="4">
        <v>88500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79000</v>
      </c>
      <c r="P11" s="4">
        <v>0</v>
      </c>
      <c r="Q11" s="4">
        <v>0</v>
      </c>
      <c r="R11" s="4">
        <v>0</v>
      </c>
      <c r="S11" s="4">
        <v>74700</v>
      </c>
      <c r="T11" s="4">
        <v>0</v>
      </c>
      <c r="U11" s="4">
        <v>0</v>
      </c>
    </row>
    <row r="12" spans="1:21" x14ac:dyDescent="0.25">
      <c r="A12" s="6" t="s">
        <v>34</v>
      </c>
      <c r="B12" s="6" t="s">
        <v>74</v>
      </c>
      <c r="C12" s="15" t="s">
        <v>120</v>
      </c>
      <c r="D12" s="15">
        <v>44.153830999999997</v>
      </c>
      <c r="E12" s="4">
        <v>61600</v>
      </c>
      <c r="F12" s="4">
        <v>0</v>
      </c>
      <c r="G12" s="4">
        <v>64700</v>
      </c>
      <c r="H12" s="4">
        <v>0</v>
      </c>
      <c r="I12" s="4">
        <v>69000</v>
      </c>
      <c r="J12" s="4">
        <v>0</v>
      </c>
      <c r="K12" s="4">
        <v>69000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1" x14ac:dyDescent="0.25">
      <c r="A13" s="6" t="s">
        <v>35</v>
      </c>
      <c r="B13" s="6" t="s">
        <v>75</v>
      </c>
      <c r="C13" s="15">
        <v>55.562317</v>
      </c>
      <c r="D13" s="15">
        <v>37.755015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75700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 x14ac:dyDescent="0.25">
      <c r="A14" s="6" t="s">
        <v>35</v>
      </c>
      <c r="B14" s="6" t="s">
        <v>76</v>
      </c>
      <c r="C14" s="15">
        <v>55.800266000000001</v>
      </c>
      <c r="D14" s="15">
        <v>38.203876000000001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75700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 x14ac:dyDescent="0.25">
      <c r="A15" s="6" t="s">
        <v>36</v>
      </c>
      <c r="B15" s="6" t="s">
        <v>77</v>
      </c>
      <c r="C15" s="15">
        <v>52.694298000000003</v>
      </c>
      <c r="D15" s="15">
        <v>39.428702000000001</v>
      </c>
      <c r="E15" s="4">
        <v>0</v>
      </c>
      <c r="F15" s="4">
        <v>77600</v>
      </c>
      <c r="G15" s="4">
        <v>77300.009999999995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74200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</row>
    <row r="16" spans="1:21" x14ac:dyDescent="0.25">
      <c r="A16" s="6" t="s">
        <v>37</v>
      </c>
      <c r="B16" s="6" t="s">
        <v>78</v>
      </c>
      <c r="C16" s="15">
        <v>44.623815</v>
      </c>
      <c r="D16" s="15">
        <v>40.108232000000001</v>
      </c>
      <c r="E16" s="4">
        <v>79950</v>
      </c>
      <c r="F16" s="4">
        <v>0</v>
      </c>
      <c r="G16" s="4">
        <v>86000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67000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67200</v>
      </c>
      <c r="T16" s="4">
        <v>0</v>
      </c>
      <c r="U16" s="4">
        <v>0</v>
      </c>
    </row>
    <row r="17" spans="1:21" x14ac:dyDescent="0.25">
      <c r="A17" s="6" t="s">
        <v>38</v>
      </c>
      <c r="B17" s="6" t="s">
        <v>79</v>
      </c>
      <c r="C17" s="15">
        <v>44.336789000000003</v>
      </c>
      <c r="D17" s="15">
        <v>42.971890999999999</v>
      </c>
      <c r="E17" s="4">
        <v>0</v>
      </c>
      <c r="F17" s="4">
        <v>76950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67000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67200</v>
      </c>
      <c r="T17" s="4">
        <v>0</v>
      </c>
      <c r="U17" s="4">
        <v>35400</v>
      </c>
    </row>
    <row r="18" spans="1:21" x14ac:dyDescent="0.25">
      <c r="A18" s="6" t="s">
        <v>39</v>
      </c>
      <c r="B18" s="6" t="s">
        <v>5</v>
      </c>
      <c r="C18" s="15">
        <v>44.998699999999999</v>
      </c>
      <c r="D18" s="15">
        <v>41.055542000000003</v>
      </c>
      <c r="E18" s="4">
        <v>0</v>
      </c>
      <c r="F18" s="4">
        <v>72100</v>
      </c>
      <c r="G18" s="4">
        <v>80805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65500.01</v>
      </c>
      <c r="T18" s="4">
        <v>0</v>
      </c>
      <c r="U18" s="4">
        <v>0</v>
      </c>
    </row>
    <row r="19" spans="1:21" x14ac:dyDescent="0.25">
      <c r="A19" s="6" t="s">
        <v>42</v>
      </c>
      <c r="B19" s="6" t="s">
        <v>6</v>
      </c>
      <c r="C19" s="15">
        <v>63.563111999999997</v>
      </c>
      <c r="D19" s="15">
        <v>53.726725000000002</v>
      </c>
      <c r="E19" s="4">
        <v>0</v>
      </c>
      <c r="F19" s="4">
        <v>60200</v>
      </c>
      <c r="G19" s="4">
        <v>0</v>
      </c>
      <c r="H19" s="4">
        <v>61600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66000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</row>
    <row r="20" spans="1:21" x14ac:dyDescent="0.25">
      <c r="A20" s="6" t="s">
        <v>43</v>
      </c>
      <c r="B20" s="6" t="s">
        <v>0</v>
      </c>
      <c r="C20" s="15">
        <v>64.466628002356302</v>
      </c>
      <c r="D20" s="15">
        <v>40.614491246246097</v>
      </c>
      <c r="E20" s="4">
        <v>0</v>
      </c>
      <c r="F20" s="4">
        <v>68700.009999999995</v>
      </c>
      <c r="G20" s="4">
        <v>75300</v>
      </c>
      <c r="H20" s="4">
        <v>75400</v>
      </c>
      <c r="I20" s="4">
        <f>J20</f>
        <v>82000.009999999995</v>
      </c>
      <c r="J20" s="4">
        <v>82000.009999999995</v>
      </c>
      <c r="K20" s="4">
        <v>0</v>
      </c>
      <c r="L20" s="4">
        <v>0</v>
      </c>
      <c r="M20" s="4">
        <v>0</v>
      </c>
      <c r="N20" s="4">
        <v>0</v>
      </c>
      <c r="O20" s="4">
        <v>82200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</row>
    <row r="21" spans="1:21" x14ac:dyDescent="0.25">
      <c r="A21" s="6" t="s">
        <v>42</v>
      </c>
      <c r="B21" s="6" t="s">
        <v>7</v>
      </c>
      <c r="C21" s="15">
        <v>65.128539000000004</v>
      </c>
      <c r="D21" s="15">
        <v>57.180211</v>
      </c>
      <c r="E21" s="4">
        <v>0</v>
      </c>
      <c r="F21" s="4">
        <v>66550</v>
      </c>
      <c r="G21" s="4">
        <v>0</v>
      </c>
      <c r="H21" s="4">
        <v>73300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82300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</row>
    <row r="22" spans="1:21" x14ac:dyDescent="0.25">
      <c r="A22" s="6" t="s">
        <v>42</v>
      </c>
      <c r="B22" s="6" t="s">
        <v>88</v>
      </c>
      <c r="C22" s="15">
        <v>63.424123000000002</v>
      </c>
      <c r="D22" s="15">
        <v>47.952734999999997</v>
      </c>
      <c r="E22" s="4">
        <v>0</v>
      </c>
      <c r="F22" s="4">
        <v>63450</v>
      </c>
      <c r="G22" s="4">
        <v>0</v>
      </c>
      <c r="H22" s="4">
        <v>71700</v>
      </c>
      <c r="I22" s="4">
        <v>78800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</row>
    <row r="23" spans="1:21" x14ac:dyDescent="0.25">
      <c r="A23" s="6" t="s">
        <v>44</v>
      </c>
      <c r="B23" s="6" t="s">
        <v>89</v>
      </c>
      <c r="C23" s="15">
        <v>55.476362999999999</v>
      </c>
      <c r="D23" s="15">
        <v>54.310372000000001</v>
      </c>
      <c r="E23" s="4">
        <v>65750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</row>
    <row r="24" spans="1:21" x14ac:dyDescent="0.25">
      <c r="A24" s="6" t="s">
        <v>45</v>
      </c>
      <c r="B24" s="6" t="s">
        <v>90</v>
      </c>
      <c r="C24" s="15" t="s">
        <v>123</v>
      </c>
      <c r="D24" s="15">
        <v>56.804957999999999</v>
      </c>
      <c r="E24" s="4">
        <v>76750</v>
      </c>
      <c r="F24" s="4">
        <v>0</v>
      </c>
      <c r="G24" s="4">
        <v>82550.009999999995</v>
      </c>
      <c r="H24" s="4">
        <v>0</v>
      </c>
      <c r="I24" s="4">
        <v>81200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81400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</row>
    <row r="25" spans="1:21" x14ac:dyDescent="0.25">
      <c r="A25" s="6" t="s">
        <v>46</v>
      </c>
      <c r="B25" s="6" t="s">
        <v>91</v>
      </c>
      <c r="C25" s="15" t="s">
        <v>121</v>
      </c>
      <c r="D25" s="15">
        <v>49.421776999999999</v>
      </c>
      <c r="E25" s="4">
        <v>73400.009999999995</v>
      </c>
      <c r="F25" s="4">
        <v>0</v>
      </c>
      <c r="G25" s="4">
        <v>74500</v>
      </c>
      <c r="H25" s="4">
        <v>0</v>
      </c>
      <c r="I25" s="4">
        <v>80900.009999999995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81100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</row>
    <row r="26" spans="1:21" ht="15.75" customHeight="1" x14ac:dyDescent="0.25">
      <c r="A26" s="6" t="s">
        <v>46</v>
      </c>
      <c r="B26" s="6" t="s">
        <v>92</v>
      </c>
      <c r="C26" s="15">
        <v>54.526266999999997</v>
      </c>
      <c r="D26" s="15">
        <v>52.753233000000002</v>
      </c>
      <c r="E26" s="4">
        <v>74150</v>
      </c>
      <c r="F26" s="4">
        <v>0</v>
      </c>
      <c r="G26" s="4">
        <v>78850</v>
      </c>
      <c r="H26" s="4">
        <v>0</v>
      </c>
      <c r="I26" s="4">
        <v>81300.009999999995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81500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</row>
    <row r="27" spans="1:21" x14ac:dyDescent="0.25">
      <c r="A27" s="6" t="s">
        <v>43</v>
      </c>
      <c r="B27" s="6" t="s">
        <v>93</v>
      </c>
      <c r="C27" s="15">
        <v>61.048203000000001</v>
      </c>
      <c r="D27" s="15">
        <v>42.158745000000003</v>
      </c>
      <c r="E27" s="4">
        <v>0</v>
      </c>
      <c r="F27" s="4">
        <v>68600</v>
      </c>
      <c r="G27" s="4">
        <v>0</v>
      </c>
      <c r="H27" s="4">
        <v>72700</v>
      </c>
      <c r="I27" s="4">
        <v>80500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80700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</row>
    <row r="28" spans="1:21" x14ac:dyDescent="0.25">
      <c r="A28" s="6" t="s">
        <v>47</v>
      </c>
      <c r="B28" s="6" t="s">
        <v>94</v>
      </c>
      <c r="C28" s="15">
        <v>59.202232000000002</v>
      </c>
      <c r="D28" s="15">
        <v>39.934040000000003</v>
      </c>
      <c r="E28" s="4">
        <v>0</v>
      </c>
      <c r="F28" s="4">
        <v>65000</v>
      </c>
      <c r="G28" s="4">
        <v>81000</v>
      </c>
      <c r="H28" s="4">
        <v>0</v>
      </c>
      <c r="I28" s="4">
        <v>80500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</row>
    <row r="29" spans="1:21" x14ac:dyDescent="0.25">
      <c r="A29" s="6" t="s">
        <v>42</v>
      </c>
      <c r="B29" s="6" t="s">
        <v>95</v>
      </c>
      <c r="C29" s="15">
        <v>67.544696999999999</v>
      </c>
      <c r="D29" s="15">
        <v>64.089037000000005</v>
      </c>
      <c r="E29" s="4">
        <v>0</v>
      </c>
      <c r="F29" s="4">
        <v>69050</v>
      </c>
      <c r="G29" s="4">
        <v>0</v>
      </c>
      <c r="H29" s="4">
        <v>75800</v>
      </c>
      <c r="I29" s="4">
        <v>83000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</row>
    <row r="30" spans="1:21" x14ac:dyDescent="0.25">
      <c r="A30" s="6" t="s">
        <v>48</v>
      </c>
      <c r="B30" s="6" t="s">
        <v>96</v>
      </c>
      <c r="C30" s="15">
        <v>56.878064000000002</v>
      </c>
      <c r="D30" s="15">
        <v>60.609627000000003</v>
      </c>
      <c r="E30" s="4">
        <v>0</v>
      </c>
      <c r="F30" s="4">
        <v>67850</v>
      </c>
      <c r="G30" s="4">
        <v>73550.009999999995</v>
      </c>
      <c r="H30" s="4">
        <v>0</v>
      </c>
      <c r="I30" s="4">
        <v>75000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75200.009999999995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</row>
    <row r="31" spans="1:21" x14ac:dyDescent="0.25">
      <c r="A31" s="6" t="s">
        <v>44</v>
      </c>
      <c r="B31" s="6" t="s">
        <v>97</v>
      </c>
      <c r="C31" s="15">
        <v>54.823081000000002</v>
      </c>
      <c r="D31" s="15">
        <v>56.396377000000001</v>
      </c>
      <c r="E31" s="4">
        <v>67750</v>
      </c>
      <c r="F31" s="4">
        <v>0</v>
      </c>
      <c r="G31" s="4">
        <v>71750.009999999995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81000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</row>
    <row r="32" spans="1:21" x14ac:dyDescent="0.25">
      <c r="A32" s="6" t="s">
        <v>42</v>
      </c>
      <c r="B32" s="6" t="s">
        <v>98</v>
      </c>
      <c r="C32" s="15">
        <v>66.025867000000005</v>
      </c>
      <c r="D32" s="15">
        <v>60.065779999999997</v>
      </c>
      <c r="E32" s="4">
        <v>0</v>
      </c>
      <c r="F32" s="4">
        <v>75050</v>
      </c>
      <c r="G32" s="4">
        <v>0</v>
      </c>
      <c r="H32" s="4">
        <v>81800</v>
      </c>
      <c r="I32" s="4">
        <v>94100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</row>
    <row r="33" spans="1:22" x14ac:dyDescent="0.25">
      <c r="A33" s="6" t="s">
        <v>49</v>
      </c>
      <c r="B33" s="6" t="s">
        <v>99</v>
      </c>
      <c r="C33" s="15">
        <v>58.569808000000002</v>
      </c>
      <c r="D33" s="15">
        <v>49.624175999999999</v>
      </c>
      <c r="E33" s="4">
        <v>0</v>
      </c>
      <c r="F33" s="4">
        <v>67250</v>
      </c>
      <c r="G33" s="4">
        <v>74950</v>
      </c>
      <c r="H33" s="4">
        <v>0</v>
      </c>
      <c r="I33" s="4">
        <v>76000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76100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</row>
    <row r="34" spans="1:22" x14ac:dyDescent="0.25">
      <c r="A34" s="6" t="s">
        <v>50</v>
      </c>
      <c r="B34" s="6" t="s">
        <v>100</v>
      </c>
      <c r="C34" s="15">
        <v>62.277543000000001</v>
      </c>
      <c r="D34" s="15">
        <v>74.517373000000006</v>
      </c>
      <c r="E34" s="4">
        <v>71250</v>
      </c>
      <c r="F34" s="4">
        <v>0</v>
      </c>
      <c r="G34" s="4">
        <v>75050</v>
      </c>
      <c r="H34" s="4">
        <v>0</v>
      </c>
      <c r="I34" s="4">
        <v>78500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</row>
    <row r="35" spans="1:22" x14ac:dyDescent="0.25">
      <c r="A35" s="6" t="s">
        <v>40</v>
      </c>
      <c r="B35" s="6" t="s">
        <v>101</v>
      </c>
      <c r="C35" s="15">
        <v>59.662508000000003</v>
      </c>
      <c r="D35" s="15">
        <v>30.223575</v>
      </c>
      <c r="E35" s="4">
        <v>0</v>
      </c>
      <c r="F35" s="4">
        <v>77700.009999999995</v>
      </c>
      <c r="G35" s="4">
        <v>83600</v>
      </c>
      <c r="H35" s="4">
        <v>83800.009999999995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/>
      <c r="P35" s="4">
        <v>0</v>
      </c>
      <c r="Q35" s="4">
        <v>77300.009999999995</v>
      </c>
      <c r="R35" s="4">
        <v>82300</v>
      </c>
      <c r="S35" s="4">
        <v>0</v>
      </c>
      <c r="T35" s="4">
        <v>0</v>
      </c>
      <c r="U35" s="4">
        <v>0</v>
      </c>
      <c r="V35" s="10"/>
    </row>
    <row r="36" spans="1:22" x14ac:dyDescent="0.25">
      <c r="A36" s="6" t="s">
        <v>51</v>
      </c>
      <c r="B36" s="6" t="s">
        <v>102</v>
      </c>
      <c r="C36" s="15">
        <v>69.012007999999994</v>
      </c>
      <c r="D36" s="15">
        <v>33.113095999999999</v>
      </c>
      <c r="E36" s="4">
        <v>0</v>
      </c>
      <c r="F36" s="4">
        <v>71100</v>
      </c>
      <c r="G36" s="4">
        <v>77000</v>
      </c>
      <c r="H36" s="4">
        <v>77200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84000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</row>
    <row r="37" spans="1:22" x14ac:dyDescent="0.25">
      <c r="A37" s="6" t="s">
        <v>52</v>
      </c>
      <c r="B37" s="6" t="s">
        <v>103</v>
      </c>
      <c r="C37" s="15">
        <v>67.672188000000006</v>
      </c>
      <c r="D37" s="15">
        <v>53.100161999999997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</row>
    <row r="38" spans="1:22" x14ac:dyDescent="0.25">
      <c r="A38" s="6" t="s">
        <v>35</v>
      </c>
      <c r="B38" s="6" t="s">
        <v>104</v>
      </c>
      <c r="C38" s="15">
        <v>55.344223</v>
      </c>
      <c r="D38" s="15">
        <v>37.570542000000003</v>
      </c>
      <c r="E38" s="4">
        <v>63800</v>
      </c>
      <c r="F38" s="4">
        <v>0</v>
      </c>
      <c r="G38" s="4">
        <v>71100</v>
      </c>
      <c r="H38" s="4">
        <v>71300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</row>
    <row r="39" spans="1:22" x14ac:dyDescent="0.25">
      <c r="A39" s="6" t="s">
        <v>53</v>
      </c>
      <c r="B39" s="6" t="s">
        <v>105</v>
      </c>
      <c r="C39" s="15">
        <v>51.686942000000002</v>
      </c>
      <c r="D39" s="15">
        <v>55.079267000000002</v>
      </c>
      <c r="E39" s="4">
        <v>0</v>
      </c>
      <c r="F39" s="4">
        <v>71750.009999999995</v>
      </c>
      <c r="G39" s="4">
        <v>78050</v>
      </c>
      <c r="H39" s="4">
        <v>0</v>
      </c>
      <c r="I39" s="4">
        <v>80000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</row>
    <row r="40" spans="1:22" s="13" customFormat="1" x14ac:dyDescent="0.25">
      <c r="A40" s="11" t="s">
        <v>45</v>
      </c>
      <c r="B40" s="11" t="s">
        <v>106</v>
      </c>
      <c r="C40" s="16" t="s">
        <v>122</v>
      </c>
      <c r="D40" s="16">
        <v>56.146017000000001</v>
      </c>
      <c r="E40" s="12">
        <v>0</v>
      </c>
      <c r="F40" s="12">
        <v>61650</v>
      </c>
      <c r="G40" s="12">
        <v>64850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69800.009999999995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</row>
    <row r="41" spans="1:22" x14ac:dyDescent="0.25">
      <c r="A41" s="6" t="s">
        <v>54</v>
      </c>
      <c r="B41" s="6" t="s">
        <v>107</v>
      </c>
      <c r="C41" s="15">
        <v>58.700875000000003</v>
      </c>
      <c r="D41" s="15">
        <v>31.401140999999999</v>
      </c>
      <c r="E41" s="4">
        <v>73500</v>
      </c>
      <c r="F41" s="4">
        <v>73700</v>
      </c>
      <c r="G41" s="4">
        <v>79700</v>
      </c>
      <c r="H41" s="4">
        <v>79850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/>
      <c r="P41" s="4">
        <v>81600.009999999995</v>
      </c>
      <c r="Q41" s="4">
        <v>0</v>
      </c>
      <c r="R41" s="4">
        <v>81700</v>
      </c>
      <c r="S41" s="4">
        <v>0</v>
      </c>
      <c r="T41" s="4">
        <v>0</v>
      </c>
      <c r="U41" s="4">
        <v>0</v>
      </c>
      <c r="V41" s="10"/>
    </row>
    <row r="42" spans="1:22" x14ac:dyDescent="0.25">
      <c r="A42" s="6" t="s">
        <v>55</v>
      </c>
      <c r="B42" s="6" t="s">
        <v>108</v>
      </c>
      <c r="C42" s="15">
        <v>57.802799499999999</v>
      </c>
      <c r="D42" s="15">
        <v>28.404242400000001</v>
      </c>
      <c r="E42" s="4">
        <v>71900</v>
      </c>
      <c r="F42" s="4">
        <v>72050</v>
      </c>
      <c r="G42" s="4">
        <v>85583</v>
      </c>
      <c r="H42" s="4">
        <v>85700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78300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10"/>
    </row>
    <row r="43" spans="1:22" x14ac:dyDescent="0.25">
      <c r="A43" s="6" t="s">
        <v>41</v>
      </c>
      <c r="B43" s="6" t="s">
        <v>109</v>
      </c>
      <c r="C43" s="15">
        <v>66.709096000000002</v>
      </c>
      <c r="D43" s="17">
        <v>66.230091000000002</v>
      </c>
      <c r="E43" s="4">
        <v>0</v>
      </c>
      <c r="F43" s="4">
        <v>74550</v>
      </c>
      <c r="G43" s="4">
        <v>0</v>
      </c>
      <c r="H43" s="4">
        <v>77300.009999999995</v>
      </c>
      <c r="I43" s="4">
        <v>92400</v>
      </c>
      <c r="J43" s="4">
        <v>92500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</row>
    <row r="44" spans="1:22" x14ac:dyDescent="0.25">
      <c r="A44" s="6" t="s">
        <v>43</v>
      </c>
      <c r="B44" s="6" t="s">
        <v>110</v>
      </c>
      <c r="C44" s="15">
        <v>55.5</v>
      </c>
      <c r="D44" s="15">
        <v>43.852699999999999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33500</v>
      </c>
    </row>
    <row r="45" spans="1:22" x14ac:dyDescent="0.25">
      <c r="A45" s="6" t="s">
        <v>40</v>
      </c>
      <c r="B45" s="6" t="s">
        <v>111</v>
      </c>
      <c r="C45" s="15">
        <v>60.385143999999997</v>
      </c>
      <c r="D45" s="15">
        <v>30.238890999999999</v>
      </c>
      <c r="E45" s="4">
        <v>82100</v>
      </c>
      <c r="F45" s="4">
        <v>82300</v>
      </c>
      <c r="G45" s="4">
        <v>83900</v>
      </c>
      <c r="H45" s="4">
        <v>84100</v>
      </c>
      <c r="I45" s="4">
        <v>79900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/>
      <c r="P45" s="4">
        <v>78000</v>
      </c>
      <c r="Q45" s="4">
        <v>80500</v>
      </c>
      <c r="R45" s="4">
        <v>81000</v>
      </c>
      <c r="S45" s="4">
        <v>0</v>
      </c>
      <c r="T45" s="4">
        <v>0</v>
      </c>
      <c r="U45" s="4">
        <v>0</v>
      </c>
      <c r="V45" s="10"/>
    </row>
    <row r="46" spans="1:22" x14ac:dyDescent="0.25">
      <c r="A46" s="6" t="s">
        <v>56</v>
      </c>
      <c r="B46" s="6" t="s">
        <v>112</v>
      </c>
      <c r="C46" s="15">
        <v>61.847675000000002</v>
      </c>
      <c r="D46" s="15">
        <v>34.250866000000002</v>
      </c>
      <c r="E46" s="4">
        <v>71700</v>
      </c>
      <c r="F46" s="4">
        <v>71900</v>
      </c>
      <c r="G46" s="4">
        <v>80000</v>
      </c>
      <c r="H46" s="4">
        <v>80150</v>
      </c>
      <c r="I46" s="4">
        <v>86400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86600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10"/>
    </row>
    <row r="47" spans="1:22" x14ac:dyDescent="0.25">
      <c r="A47" s="6" t="s">
        <v>42</v>
      </c>
      <c r="B47" s="6" t="s">
        <v>113</v>
      </c>
      <c r="C47" s="15">
        <v>65.993239090040603</v>
      </c>
      <c r="D47" s="15">
        <v>57.554950063476099</v>
      </c>
      <c r="E47" s="4">
        <v>0</v>
      </c>
      <c r="F47" s="4">
        <v>62950</v>
      </c>
      <c r="G47" s="4">
        <v>0</v>
      </c>
      <c r="H47" s="4">
        <v>69700</v>
      </c>
      <c r="I47" s="4">
        <v>78800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78900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10"/>
    </row>
    <row r="48" spans="1:22" x14ac:dyDescent="0.25">
      <c r="A48" s="6" t="s">
        <v>40</v>
      </c>
      <c r="B48" s="6" t="s">
        <v>114</v>
      </c>
      <c r="C48" s="15">
        <v>59.843733</v>
      </c>
      <c r="D48" s="15">
        <v>31.606064</v>
      </c>
      <c r="E48" s="4">
        <v>85000</v>
      </c>
      <c r="F48" s="4">
        <v>85100</v>
      </c>
      <c r="G48" s="4">
        <v>91653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78700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</row>
    <row r="49" spans="1:21" x14ac:dyDescent="0.25">
      <c r="A49" s="6" t="s">
        <v>57</v>
      </c>
      <c r="B49" s="6" t="s">
        <v>115</v>
      </c>
      <c r="C49" s="15">
        <v>55.013672999999997</v>
      </c>
      <c r="D49" s="15">
        <v>61.500272000000002</v>
      </c>
      <c r="E49" s="4">
        <v>69850</v>
      </c>
      <c r="F49" s="4">
        <v>0</v>
      </c>
      <c r="G49" s="4">
        <v>76950</v>
      </c>
      <c r="H49" s="4">
        <v>0</v>
      </c>
      <c r="I49" s="4"/>
      <c r="J49" s="4">
        <v>75000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</row>
    <row r="50" spans="1:21" x14ac:dyDescent="0.25">
      <c r="A50" s="6" t="s">
        <v>40</v>
      </c>
      <c r="B50" s="6" t="s">
        <v>116</v>
      </c>
      <c r="C50" s="15">
        <v>59.807282999999998</v>
      </c>
      <c r="D50" s="15">
        <v>30.076430999999999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</row>
    <row r="51" spans="1:21" x14ac:dyDescent="0.25">
      <c r="A51" s="6" t="s">
        <v>25</v>
      </c>
      <c r="B51" s="6" t="s">
        <v>26</v>
      </c>
      <c r="C51" s="15">
        <v>55.43</v>
      </c>
      <c r="D51" s="15">
        <v>36.58</v>
      </c>
      <c r="E51" s="4">
        <v>71750.009999999995</v>
      </c>
      <c r="F51" s="4">
        <v>0</v>
      </c>
      <c r="G51" s="4">
        <v>74050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81800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</row>
    <row r="52" spans="1:21" x14ac:dyDescent="0.25">
      <c r="A52" s="6" t="s">
        <v>58</v>
      </c>
      <c r="B52" s="6" t="s">
        <v>23</v>
      </c>
      <c r="C52" s="15">
        <v>57.152999999999999</v>
      </c>
      <c r="D52" s="15">
        <v>40.6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</row>
    <row r="53" spans="1:21" x14ac:dyDescent="0.25">
      <c r="A53" s="6" t="s">
        <v>58</v>
      </c>
      <c r="B53" s="6" t="s">
        <v>117</v>
      </c>
      <c r="C53" s="15">
        <v>46.793259785019998</v>
      </c>
      <c r="D53" s="15">
        <v>40.464166169311497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</row>
    <row r="54" spans="1:21" x14ac:dyDescent="0.25">
      <c r="A54" s="6" t="s">
        <v>30</v>
      </c>
      <c r="B54" s="6" t="s">
        <v>118</v>
      </c>
      <c r="C54" s="15">
        <v>50.781452171930098</v>
      </c>
      <c r="D54" s="15">
        <v>41.981860089843501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</row>
    <row r="55" spans="1:21" x14ac:dyDescent="0.25">
      <c r="A55" s="6" t="s">
        <v>39</v>
      </c>
      <c r="B55" s="6" t="s">
        <v>80</v>
      </c>
      <c r="C55" s="15">
        <v>46.135244999999998</v>
      </c>
      <c r="D55" s="15">
        <v>39.783087000000002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70500.009999999995</v>
      </c>
      <c r="T55" s="4">
        <v>0</v>
      </c>
      <c r="U55" s="4">
        <v>0</v>
      </c>
    </row>
    <row r="56" spans="1:21" x14ac:dyDescent="0.25">
      <c r="A56" s="6" t="s">
        <v>59</v>
      </c>
      <c r="B56" s="6" t="s">
        <v>1</v>
      </c>
      <c r="C56" s="15">
        <v>51.041969000000002</v>
      </c>
      <c r="D56" s="15">
        <v>36.732157000000001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</row>
    <row r="57" spans="1:21" x14ac:dyDescent="0.25">
      <c r="A57" s="6" t="s">
        <v>27</v>
      </c>
      <c r="B57" s="6" t="s">
        <v>125</v>
      </c>
      <c r="C57" s="15">
        <v>53.234050000000003</v>
      </c>
      <c r="D57" s="15">
        <v>44.977756999999997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31000</v>
      </c>
    </row>
    <row r="58" spans="1:21" x14ac:dyDescent="0.25">
      <c r="A58" s="6" t="s">
        <v>35</v>
      </c>
      <c r="B58" s="6" t="s">
        <v>81</v>
      </c>
      <c r="C58" s="15">
        <v>54.92</v>
      </c>
      <c r="D58" s="15">
        <v>37.409999999999997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</row>
    <row r="59" spans="1:21" x14ac:dyDescent="0.25">
      <c r="A59" s="6" t="s">
        <v>35</v>
      </c>
      <c r="B59" s="6" t="s">
        <v>82</v>
      </c>
      <c r="C59" s="15">
        <v>56.152053000000002</v>
      </c>
      <c r="D59" s="15">
        <v>37.988657000000003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75700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</row>
    <row r="60" spans="1:21" x14ac:dyDescent="0.25">
      <c r="A60" s="6" t="s">
        <v>39</v>
      </c>
      <c r="B60" s="6" t="s">
        <v>83</v>
      </c>
      <c r="C60" s="15">
        <v>43.396414</v>
      </c>
      <c r="D60" s="15">
        <v>39.990858000000003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</row>
    <row r="61" spans="1:21" x14ac:dyDescent="0.25">
      <c r="A61" s="6" t="s">
        <v>38</v>
      </c>
      <c r="B61" s="6" t="s">
        <v>84</v>
      </c>
      <c r="C61" s="15">
        <v>45.098939000000001</v>
      </c>
      <c r="D61" s="15">
        <v>42.208260000000003</v>
      </c>
      <c r="E61" s="4">
        <v>0</v>
      </c>
      <c r="F61" s="4">
        <v>0</v>
      </c>
      <c r="G61" s="4">
        <v>75000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67000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67200</v>
      </c>
      <c r="T61" s="4">
        <v>0</v>
      </c>
      <c r="U61" s="4">
        <v>35400</v>
      </c>
    </row>
    <row r="62" spans="1:21" x14ac:dyDescent="0.25">
      <c r="A62" s="6" t="s">
        <v>60</v>
      </c>
      <c r="B62" s="6" t="s">
        <v>85</v>
      </c>
      <c r="C62" s="15">
        <v>55.944319</v>
      </c>
      <c r="D62" s="15">
        <v>41.150951999999997</v>
      </c>
      <c r="E62" s="4">
        <v>0</v>
      </c>
      <c r="F62" s="4">
        <v>70600</v>
      </c>
      <c r="G62" s="4">
        <v>77700.009999999995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75300</v>
      </c>
      <c r="P62" s="4">
        <v>0</v>
      </c>
      <c r="Q62" s="4">
        <v>75300</v>
      </c>
      <c r="R62" s="4">
        <v>0</v>
      </c>
      <c r="S62" s="4">
        <v>0</v>
      </c>
      <c r="T62" s="4">
        <v>0</v>
      </c>
      <c r="U62" s="4">
        <v>0</v>
      </c>
    </row>
    <row r="63" spans="1:21" x14ac:dyDescent="0.25">
      <c r="A63" s="6" t="s">
        <v>58</v>
      </c>
      <c r="B63" s="6" t="s">
        <v>86</v>
      </c>
      <c r="C63" s="15">
        <v>47.881723999999998</v>
      </c>
      <c r="D63" s="15">
        <v>40.111843999999998</v>
      </c>
      <c r="E63" s="4">
        <v>79090</v>
      </c>
      <c r="F63" s="4">
        <v>0</v>
      </c>
      <c r="G63" s="4">
        <v>78200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70600</v>
      </c>
      <c r="T63" s="4">
        <v>0</v>
      </c>
      <c r="U63" s="4">
        <v>0</v>
      </c>
    </row>
    <row r="64" spans="1:21" x14ac:dyDescent="0.25">
      <c r="A64" s="6" t="s">
        <v>25</v>
      </c>
      <c r="B64" s="6" t="s">
        <v>9</v>
      </c>
      <c r="C64" s="15">
        <v>57.154000000000003</v>
      </c>
      <c r="D64" s="15">
        <v>65.534199999999998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</row>
    <row r="65" spans="1:21" x14ac:dyDescent="0.25">
      <c r="A65" s="7" t="s">
        <v>39</v>
      </c>
      <c r="B65" s="7" t="s">
        <v>21</v>
      </c>
      <c r="C65" s="18">
        <v>45.347484999999999</v>
      </c>
      <c r="D65" s="18">
        <v>39.075851999999998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35400</v>
      </c>
    </row>
    <row r="66" spans="1:21" ht="15.75" thickBot="1" x14ac:dyDescent="0.3">
      <c r="A66" s="8" t="s">
        <v>37</v>
      </c>
      <c r="B66" s="8" t="s">
        <v>87</v>
      </c>
      <c r="C66" s="19">
        <v>44.909434297383299</v>
      </c>
      <c r="D66" s="19">
        <v>38.913483205031497</v>
      </c>
      <c r="E66" s="9">
        <v>0</v>
      </c>
      <c r="F66" s="9">
        <v>76400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67000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Ломакова Мария</dc:creator>
  <cp:lastModifiedBy>Альфамонолит</cp:lastModifiedBy>
  <dcterms:created xsi:type="dcterms:W3CDTF">2025-04-28T10:06:57Z</dcterms:created>
  <dcterms:modified xsi:type="dcterms:W3CDTF">2026-02-19T15:16:00Z</dcterms:modified>
</cp:coreProperties>
</file>